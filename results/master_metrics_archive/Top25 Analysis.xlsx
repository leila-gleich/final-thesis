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gleichl_my_erau_edu/Documents/Gleich-Thesis/results/04_model_execution_2025_holdout/"/>
    </mc:Choice>
  </mc:AlternateContent>
  <xr:revisionPtr revIDLastSave="106" documentId="8_{550F8EFE-C9BE-974F-9296-72B339DE44AF}" xr6:coauthVersionLast="47" xr6:coauthVersionMax="47" xr10:uidLastSave="{474B3C69-9C25-9A42-993B-7DE42EF153BB}"/>
  <bookViews>
    <workbookView xWindow="960" yWindow="720" windowWidth="29140" windowHeight="16800" activeTab="2" xr2:uid="{4EE690F5-70A7-EC46-AA1E-47A15BEC033A}"/>
  </bookViews>
  <sheets>
    <sheet name="Archetype Summary" sheetId="1" r:id="rId1"/>
    <sheet name="Airport Archetype Metrics" sheetId="3" r:id="rId2"/>
    <sheet name="Detailed Metrics" sheetId="2" r:id="rId3"/>
  </sheets>
  <definedNames>
    <definedName name="_xlnm._FilterDatabase" localSheetId="2" hidden="1">'Detailed Metrics'!$A$1:$Y$26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tc={B5216629-5F6F-584C-AAA1-7F4ADE08BF5C}</author>
  </authors>
  <commentList>
    <comment ref="M3" authorId="0" shapeId="0" xr:uid="{B5216629-5F6F-584C-AAA1-7F4ADE08BF5C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Interesting that these switch with adjustment</t>
      </text>
    </comment>
  </commentList>
</comments>
</file>

<file path=xl/sharedStrings.xml><?xml version="1.0" encoding="utf-8"?>
<sst xmlns="http://schemas.openxmlformats.org/spreadsheetml/2006/main" count="199" uniqueCount="165">
  <si>
    <t>Empirical Operational Clustering &amp; Connecting Ratio Paradox</t>
  </si>
  <si>
    <t>Mega-Connecting Gateways</t>
  </si>
  <si>
    <t>High Density O&amp;D Focus</t>
  </si>
  <si>
    <t>High Reliability Fortress Hubs</t>
  </si>
  <si>
    <t>Congested Coastal Originators</t>
  </si>
  <si>
    <t>ATL, DEN, DFW, ORD, LAX</t>
  </si>
  <si>
    <t>BOS, CLT, DCA, IAH, TPA</t>
  </si>
  <si>
    <t>DTW, MSP, PHL, SLC</t>
  </si>
  <si>
    <t>EWR, JFK, LGA</t>
  </si>
  <si>
    <t>Mean Connecting Ratio (%)</t>
  </si>
  <si>
    <t xml:space="preserve">Unsupervised Clustering Archetypes </t>
  </si>
  <si>
    <t>Airports (Top 25)(</t>
  </si>
  <si>
    <t>At fortress hubs, departing flight seats exceed checkpoint throughput over 200%</t>
  </si>
  <si>
    <t>BTS DB1B ticket coupon analysis revealed connecting fractions between 50% and 76%</t>
  </si>
  <si>
    <t>Connecting passengers transfer between gates airside and never pass through TSA checkpoints</t>
  </si>
  <si>
    <t>Mathematical Solution: Multiplying scheduled seats by (1-Connecting Ratio) deflates airside seat capacity to landside originating demand</t>
  </si>
  <si>
    <t>Connecting Passenger Paradox/Assumptions</t>
  </si>
  <si>
    <t>High-Reliability Fortress Hub (Major airline fortress with smooth operations and low delays)</t>
  </si>
  <si>
    <t>VA</t>
  </si>
  <si>
    <t>Washington</t>
  </si>
  <si>
    <t>Washington-Dulles International</t>
  </si>
  <si>
    <t>IAD</t>
  </si>
  <si>
    <t>High Local Demand Airport (Most passengers start locally and pass through TSA security)</t>
  </si>
  <si>
    <t>FL</t>
  </si>
  <si>
    <t>Tampa</t>
  </si>
  <si>
    <t>Tampa International</t>
  </si>
  <si>
    <t>TPA</t>
  </si>
  <si>
    <t>TX</t>
  </si>
  <si>
    <t>Austin</t>
  </si>
  <si>
    <t>Austin Bergstrom International</t>
  </si>
  <si>
    <t>AUS</t>
  </si>
  <si>
    <t>WA</t>
  </si>
  <si>
    <t>Seattle</t>
  </si>
  <si>
    <t>Seattle-Tacoma International</t>
  </si>
  <si>
    <t>SEA</t>
  </si>
  <si>
    <t>Washington Reagan National</t>
  </si>
  <si>
    <t>DCA</t>
  </si>
  <si>
    <t>Congested Coastal Airport (Restricted airspace, smaller regional planes, and chronic flight delays)</t>
  </si>
  <si>
    <t>NY</t>
  </si>
  <si>
    <t>New York</t>
  </si>
  <si>
    <t>John F. Kennedy International</t>
  </si>
  <si>
    <t>JFK</t>
  </si>
  <si>
    <t>UT</t>
  </si>
  <si>
    <t>Salt Lake City</t>
  </si>
  <si>
    <t>Salt Lake City International</t>
  </si>
  <si>
    <t>SLC</t>
  </si>
  <si>
    <t>PA</t>
  </si>
  <si>
    <t>Philadelphia</t>
  </si>
  <si>
    <t>Philadelphia International</t>
  </si>
  <si>
    <t>PHL</t>
  </si>
  <si>
    <t>NV</t>
  </si>
  <si>
    <t>Las Vegas</t>
  </si>
  <si>
    <t>Harry Reid International Airport</t>
  </si>
  <si>
    <t>LAS</t>
  </si>
  <si>
    <t>MI</t>
  </si>
  <si>
    <t>Detroit</t>
  </si>
  <si>
    <t>Detroit Metropolitan Wayne County</t>
  </si>
  <si>
    <t>DTW</t>
  </si>
  <si>
    <t>LaGuardia</t>
  </si>
  <si>
    <t>LGA</t>
  </si>
  <si>
    <t>MN</t>
  </si>
  <si>
    <t>Minneapolis</t>
  </si>
  <si>
    <t>Minneapolis-St Paul International/Wold-Chamberlain</t>
  </si>
  <si>
    <t>MSP</t>
  </si>
  <si>
    <t>MA</t>
  </si>
  <si>
    <t>Boston</t>
  </si>
  <si>
    <t>General Edward Lawrence Logan International</t>
  </si>
  <si>
    <t>BOS</t>
  </si>
  <si>
    <t>AZ</t>
  </si>
  <si>
    <t>Phoenix</t>
  </si>
  <si>
    <t>Phoenix Sky Harbor International</t>
  </si>
  <si>
    <t>PHX</t>
  </si>
  <si>
    <t>Mega Connecting Hub (Very high passenger volumes with heavy connecting flight transfers)</t>
  </si>
  <si>
    <t>Orlando</t>
  </si>
  <si>
    <t>Orlando International</t>
  </si>
  <si>
    <t>MCO</t>
  </si>
  <si>
    <t>CA</t>
  </si>
  <si>
    <t>San Francisco</t>
  </si>
  <si>
    <t>San Francisco International</t>
  </si>
  <si>
    <t>SFO</t>
  </si>
  <si>
    <t>NJ</t>
  </si>
  <si>
    <t>Newark</t>
  </si>
  <si>
    <t>Newark Liberty International</t>
  </si>
  <si>
    <t>EWR</t>
  </si>
  <si>
    <t>Houston</t>
  </si>
  <si>
    <t>George Bush Intercontinental/Houston</t>
  </si>
  <si>
    <t>IAH</t>
  </si>
  <si>
    <t>Miami</t>
  </si>
  <si>
    <t>Miami International</t>
  </si>
  <si>
    <t>MIA</t>
  </si>
  <si>
    <t>NC</t>
  </si>
  <si>
    <t>Charlotte</t>
  </si>
  <si>
    <t>Charlotte/Douglas International</t>
  </si>
  <si>
    <t>CLT</t>
  </si>
  <si>
    <t>CO</t>
  </si>
  <si>
    <t>Denver</t>
  </si>
  <si>
    <t>Denver International</t>
  </si>
  <si>
    <t>DEN</t>
  </si>
  <si>
    <t>Los Angeles</t>
  </si>
  <si>
    <t>Los Angeles International</t>
  </si>
  <si>
    <t>LAX</t>
  </si>
  <si>
    <t>Dallas/Fort Worth</t>
  </si>
  <si>
    <t>Dallas-Fort Worth International</t>
  </si>
  <si>
    <t>DFW</t>
  </si>
  <si>
    <t>GA</t>
  </si>
  <si>
    <t>Atlanta</t>
  </si>
  <si>
    <t>Hartsfield - Jackson Atlanta International</t>
  </si>
  <si>
    <t>ATL</t>
  </si>
  <si>
    <t>IL</t>
  </si>
  <si>
    <t>Chicago</t>
  </si>
  <si>
    <t>Chicago O'Hare International</t>
  </si>
  <si>
    <t>ORD</t>
  </si>
  <si>
    <t>tsa_peak_to_median_surge_ratio</t>
  </si>
  <si>
    <t>tsa_hourly_throughput_volatility_cv</t>
  </si>
  <si>
    <t>tsa_daily_throughput_volatility_cv</t>
  </si>
  <si>
    <t>otp_cancellation_volatility_cv</t>
  </si>
  <si>
    <t>otp_departure_delay_volatility_cv</t>
  </si>
  <si>
    <t>route_load_factor_pct</t>
  </si>
  <si>
    <t>aircraft_gauge_seats</t>
  </si>
  <si>
    <t>true_local_originating_tsa_demand</t>
  </si>
  <si>
    <t>local_originating_share_pct</t>
  </si>
  <si>
    <t>connecting_passenger_share_pct</t>
  </si>
  <si>
    <t>peak_single_hour_tsa_rush</t>
  </si>
  <si>
    <t>avg_hourly_tsa_passengers</t>
  </si>
  <si>
    <t>avg_daily_tsa_passengers</t>
  </si>
  <si>
    <t>total_tsa_passengers</t>
  </si>
  <si>
    <t>avg_taxi_out_minutes</t>
  </si>
  <si>
    <t>flights_delayed_15min_pct</t>
  </si>
  <si>
    <t>avg_dep_delay_minutes</t>
  </si>
  <si>
    <t>cancellation_rate_pct</t>
  </si>
  <si>
    <t>cancelled_flights</t>
  </si>
  <si>
    <t>scheduled_flights</t>
  </si>
  <si>
    <t>operational_archetype</t>
  </si>
  <si>
    <t>state</t>
  </si>
  <si>
    <t>city</t>
  </si>
  <si>
    <t>airport_name</t>
  </si>
  <si>
    <t>airport_code</t>
  </si>
  <si>
    <t>Severe surface and airspace bottlenecks; high local originations (62.6%) coupled with chronic taxi-out queues (25.1 min) and highest delay volatility (1.37).</t>
  </si>
  <si>
    <t>Smooth schedule execution and high resilience; lowest delays (11.56 min), lowest cancellations (1.10%), and lowest passenger volatility (CV 0.192).</t>
  </si>
  <si>
    <t>DTW, IAD, LAS, MSP, PHL, PHX, SEA, SLC</t>
  </si>
  <si>
    <t>High-Reliability Fortress Hubs</t>
  </si>
  <si>
    <t>Direct origin-and-destination demand dominates; sharp morning and evening passenger rushes yield high peak-to-median surge ratios (1.82).</t>
  </si>
  <si>
    <t>AUS, BOS, CLT, DCA, IAH, TPA</t>
  </si>
  <si>
    <t>High Local Demand / O&amp;D Focus</t>
  </si>
  <si>
    <t>Immense flight bank operations with large aircraft gauge; connecting ratios over 56% insulate landside TSA checkpoints from airside gate delays.</t>
  </si>
  <si>
    <t>ATL, DEN, DFW, LAX, MCO, MIA, ORD, SFO</t>
  </si>
  <si>
    <t>Mega Connecting Hubs</t>
  </si>
  <si>
    <t>avg_aircraft_gauge_seats</t>
  </si>
  <si>
    <t>avg_depdel15_rate_pct</t>
  </si>
  <si>
    <t>avg_cancellation_rate_pct</t>
  </si>
  <si>
    <t>avg_scheduled_flights</t>
  </si>
  <si>
    <t>member_airports</t>
  </si>
  <si>
    <t>airports_count</t>
  </si>
  <si>
    <t>archetype_name</t>
  </si>
  <si>
    <t>archetype_cluster_id</t>
  </si>
  <si>
    <t>Avg TSA PAX</t>
  </si>
  <si>
    <t>Avg Connecting PAX %</t>
  </si>
  <si>
    <t>Avg Local PAX %</t>
  </si>
  <si>
    <t>Adjusted Local TSA Demand</t>
  </si>
  <si>
    <t>Avg LF %</t>
  </si>
  <si>
    <t>Avg OTP Delay Volatility CV</t>
  </si>
  <si>
    <t>Avg OTP Cancel Volatility CV</t>
  </si>
  <si>
    <t>Avg TSA Daily Volatility CV</t>
  </si>
  <si>
    <t>Avg TSA Peak to Median Surge Ratio</t>
  </si>
  <si>
    <t>Operational Implications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</si>
</sst>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leich, Leila" id="{7AAB9200-1EF4-E744-9968-8DEC9AA6B7B4}" userId="S::GLEICHL@my.erau.edu::59b27017-6fc6-4403-bb5c-429e2df4ed1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3" dT="2026-09-24T18:07:17.05" personId="{7AAB9200-1EF4-E744-9968-8DEC9AA6B7B4}" id="{B5216629-5F6F-584C-AAA1-7F4ADE08BF5C}">
    <text>Interesting that these switch with adjustment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EB5F-B7E1-EA45-99AF-E9301440AD3A}">
  <dimension ref="A1:C12"/>
  <sheetViews>
    <sheetView zoomScale="89" workbookViewId="0">
      <selection activeCell="A15" sqref="A15"/>
    </sheetView>
  </sheetViews>
  <sheetFormatPr baseColWidth="10" defaultRowHeight="16" x14ac:dyDescent="0.2"/>
  <cols>
    <col min="1" max="1" width="51.33203125" bestFit="1" customWidth="1"/>
    <col min="2" max="2" width="26.1640625" bestFit="1" customWidth="1"/>
    <col min="3" max="3" width="23.5" bestFit="1" customWidth="1"/>
  </cols>
  <sheetData>
    <row r="1" spans="1:3" x14ac:dyDescent="0.2">
      <c r="A1" t="s">
        <v>0</v>
      </c>
    </row>
    <row r="2" spans="1:3" x14ac:dyDescent="0.2">
      <c r="A2" t="s">
        <v>10</v>
      </c>
      <c r="B2" t="s">
        <v>11</v>
      </c>
      <c r="C2" t="s">
        <v>9</v>
      </c>
    </row>
    <row r="3" spans="1:3" x14ac:dyDescent="0.2">
      <c r="A3" t="s">
        <v>1</v>
      </c>
      <c r="B3" t="s">
        <v>5</v>
      </c>
      <c r="C3" s="1">
        <v>56.1</v>
      </c>
    </row>
    <row r="4" spans="1:3" x14ac:dyDescent="0.2">
      <c r="A4" t="s">
        <v>2</v>
      </c>
      <c r="B4" t="s">
        <v>6</v>
      </c>
      <c r="C4">
        <v>48.4</v>
      </c>
    </row>
    <row r="5" spans="1:3" x14ac:dyDescent="0.2">
      <c r="A5" t="s">
        <v>3</v>
      </c>
      <c r="B5" t="s">
        <v>7</v>
      </c>
      <c r="C5">
        <v>54.1</v>
      </c>
    </row>
    <row r="6" spans="1:3" x14ac:dyDescent="0.2">
      <c r="A6" t="s">
        <v>4</v>
      </c>
      <c r="B6" t="s">
        <v>8</v>
      </c>
      <c r="C6">
        <v>37.4</v>
      </c>
    </row>
    <row r="8" spans="1:3" x14ac:dyDescent="0.2">
      <c r="A8" t="s">
        <v>16</v>
      </c>
    </row>
    <row r="9" spans="1:3" x14ac:dyDescent="0.2">
      <c r="A9" t="s">
        <v>12</v>
      </c>
    </row>
    <row r="10" spans="1:3" x14ac:dyDescent="0.2">
      <c r="A10" t="s">
        <v>13</v>
      </c>
    </row>
    <row r="11" spans="1:3" x14ac:dyDescent="0.2">
      <c r="A11" t="s">
        <v>14</v>
      </c>
    </row>
    <row r="12" spans="1:3" x14ac:dyDescent="0.2">
      <c r="A1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1D8F-5377-C04E-9E7B-1A3CA3662F83}">
  <dimension ref="A1:T5"/>
  <sheetViews>
    <sheetView workbookViewId="0">
      <selection activeCell="R15" sqref="R15"/>
    </sheetView>
  </sheetViews>
  <sheetFormatPr baseColWidth="10" defaultRowHeight="16" x14ac:dyDescent="0.2"/>
  <cols>
    <col min="1" max="1" width="18.33203125" style="2" bestFit="1" customWidth="1"/>
    <col min="2" max="2" width="27.5" style="2" bestFit="1" customWidth="1"/>
    <col min="3" max="3" width="13" style="2" bestFit="1" customWidth="1"/>
    <col min="4" max="4" width="35.1640625" style="2" bestFit="1" customWidth="1"/>
    <col min="5" max="5" width="32.5" style="2" customWidth="1"/>
    <col min="6" max="6" width="22.83203125" style="2" bestFit="1" customWidth="1"/>
    <col min="7" max="7" width="20.33203125" style="2" bestFit="1" customWidth="1"/>
    <col min="8" max="8" width="20" style="2" bestFit="1" customWidth="1"/>
    <col min="9" max="9" width="18.6640625" style="2" bestFit="1" customWidth="1"/>
    <col min="10" max="10" width="22" style="2" bestFit="1" customWidth="1"/>
    <col min="11" max="11" width="32.1640625" style="2" bestFit="1" customWidth="1"/>
    <col min="12" max="12" width="27.33203125" style="2" bestFit="1" customWidth="1"/>
    <col min="13" max="13" width="23.83203125" style="2" bestFit="1" customWidth="1"/>
    <col min="14" max="14" width="21.6640625" style="2" bestFit="1" customWidth="1"/>
    <col min="15" max="15" width="22.5" style="2" customWidth="1"/>
    <col min="16" max="16" width="23.33203125" style="2" bestFit="1" customWidth="1"/>
    <col min="17" max="17" width="24.5" style="2" bestFit="1" customWidth="1"/>
    <col min="18" max="18" width="22.6640625" style="2" bestFit="1" customWidth="1"/>
    <col min="19" max="19" width="31.5" style="2" bestFit="1" customWidth="1"/>
    <col min="20" max="20" width="51.33203125" style="3" customWidth="1"/>
    <col min="21" max="16384" width="10.83203125" style="2"/>
  </cols>
  <sheetData>
    <row r="1" spans="1:20" ht="17" x14ac:dyDescent="0.2">
      <c r="A1" s="2" t="s">
        <v>154</v>
      </c>
      <c r="B1" s="2" t="s">
        <v>153</v>
      </c>
      <c r="C1" s="2" t="s">
        <v>152</v>
      </c>
      <c r="D1" s="2" t="s">
        <v>151</v>
      </c>
      <c r="E1" s="2" t="s">
        <v>150</v>
      </c>
      <c r="F1" s="2" t="s">
        <v>149</v>
      </c>
      <c r="G1" s="2" t="s">
        <v>128</v>
      </c>
      <c r="H1" s="2" t="s">
        <v>148</v>
      </c>
      <c r="I1" s="2" t="s">
        <v>126</v>
      </c>
      <c r="J1" s="2" t="s">
        <v>155</v>
      </c>
      <c r="K1" s="5" t="s">
        <v>156</v>
      </c>
      <c r="L1" s="6" t="s">
        <v>157</v>
      </c>
      <c r="M1" s="2" t="s">
        <v>158</v>
      </c>
      <c r="N1" s="11" t="s">
        <v>147</v>
      </c>
      <c r="O1" s="2" t="s">
        <v>159</v>
      </c>
      <c r="P1" s="2" t="s">
        <v>160</v>
      </c>
      <c r="Q1" s="2" t="s">
        <v>161</v>
      </c>
      <c r="R1" s="2" t="s">
        <v>162</v>
      </c>
      <c r="S1" s="2" t="s">
        <v>163</v>
      </c>
      <c r="T1" s="3" t="s">
        <v>164</v>
      </c>
    </row>
    <row r="2" spans="1:20" ht="51" x14ac:dyDescent="0.2">
      <c r="A2" s="2">
        <v>0</v>
      </c>
      <c r="B2" s="2" t="s">
        <v>146</v>
      </c>
      <c r="C2" s="2">
        <v>8</v>
      </c>
      <c r="D2" s="2" t="s">
        <v>145</v>
      </c>
      <c r="E2" s="4">
        <v>266388</v>
      </c>
      <c r="F2" s="2">
        <v>1.38</v>
      </c>
      <c r="G2" s="2">
        <v>15.58</v>
      </c>
      <c r="H2" s="2">
        <v>22.34</v>
      </c>
      <c r="I2" s="2">
        <v>19.45</v>
      </c>
      <c r="J2" s="2">
        <v>91946981</v>
      </c>
      <c r="K2" s="7">
        <v>56.09</v>
      </c>
      <c r="L2" s="8">
        <v>43.91</v>
      </c>
      <c r="M2" s="2">
        <v>17273180</v>
      </c>
      <c r="N2" s="11">
        <v>177.8</v>
      </c>
      <c r="O2" s="2">
        <v>85.71</v>
      </c>
      <c r="P2" s="2">
        <v>1.1399999999999999</v>
      </c>
      <c r="Q2" s="2">
        <v>3.1</v>
      </c>
      <c r="R2" s="2">
        <v>0.21</v>
      </c>
      <c r="S2" s="2">
        <v>1.6</v>
      </c>
      <c r="T2" s="12" t="s">
        <v>144</v>
      </c>
    </row>
    <row r="3" spans="1:20" ht="51" x14ac:dyDescent="0.2">
      <c r="A3" s="2">
        <v>1</v>
      </c>
      <c r="B3" s="2" t="s">
        <v>143</v>
      </c>
      <c r="C3" s="2">
        <v>6</v>
      </c>
      <c r="D3" s="2" t="s">
        <v>142</v>
      </c>
      <c r="E3" s="2">
        <v>165592</v>
      </c>
      <c r="F3" s="2">
        <v>1.61</v>
      </c>
      <c r="G3" s="2">
        <v>14.98</v>
      </c>
      <c r="H3" s="2">
        <v>20.46</v>
      </c>
      <c r="I3" s="2">
        <v>18.600000000000001</v>
      </c>
      <c r="J3" s="2">
        <v>46130273</v>
      </c>
      <c r="K3" s="7">
        <v>48.43</v>
      </c>
      <c r="L3" s="8">
        <v>51.57</v>
      </c>
      <c r="M3" s="2">
        <v>11186256</v>
      </c>
      <c r="N3" s="11">
        <v>164</v>
      </c>
      <c r="O3" s="2">
        <v>83.42</v>
      </c>
      <c r="P3" s="2">
        <v>1.29</v>
      </c>
      <c r="Q3" s="2">
        <v>3.13</v>
      </c>
      <c r="R3" s="2">
        <v>0.23799999999999999</v>
      </c>
      <c r="S3" s="4">
        <v>1.82</v>
      </c>
      <c r="T3" s="12" t="s">
        <v>141</v>
      </c>
    </row>
    <row r="4" spans="1:20" ht="51" x14ac:dyDescent="0.2">
      <c r="A4" s="2">
        <v>2</v>
      </c>
      <c r="B4" s="2" t="s">
        <v>140</v>
      </c>
      <c r="C4" s="2">
        <v>8</v>
      </c>
      <c r="D4" s="2" t="s">
        <v>139</v>
      </c>
      <c r="E4" s="2">
        <v>146909</v>
      </c>
      <c r="F4" s="2">
        <v>1.1000000000000001</v>
      </c>
      <c r="G4" s="4">
        <v>11.56</v>
      </c>
      <c r="H4" s="4">
        <v>17.760000000000002</v>
      </c>
      <c r="I4" s="2">
        <v>18.71</v>
      </c>
      <c r="J4" s="2">
        <v>55406373</v>
      </c>
      <c r="K4" s="7">
        <v>54.15</v>
      </c>
      <c r="L4" s="8">
        <v>45.85</v>
      </c>
      <c r="M4" s="2">
        <v>9736197</v>
      </c>
      <c r="N4" s="11">
        <v>172.3</v>
      </c>
      <c r="O4" s="2">
        <v>84.53</v>
      </c>
      <c r="P4" s="2">
        <v>1.2</v>
      </c>
      <c r="Q4" s="2">
        <v>3.13</v>
      </c>
      <c r="R4" s="2">
        <v>0.192</v>
      </c>
      <c r="S4" s="2">
        <v>1.63</v>
      </c>
      <c r="T4" s="12" t="s">
        <v>138</v>
      </c>
    </row>
    <row r="5" spans="1:20" ht="51" x14ac:dyDescent="0.2">
      <c r="A5" s="2">
        <v>3</v>
      </c>
      <c r="B5" s="2" t="s">
        <v>4</v>
      </c>
      <c r="C5" s="2">
        <v>3</v>
      </c>
      <c r="D5" s="2" t="s">
        <v>8</v>
      </c>
      <c r="E5" s="2">
        <v>168028</v>
      </c>
      <c r="F5" s="4">
        <v>2.04</v>
      </c>
      <c r="G5" s="2">
        <v>16.07</v>
      </c>
      <c r="H5" s="2">
        <v>21.42</v>
      </c>
      <c r="I5" s="4">
        <v>25.13</v>
      </c>
      <c r="J5" s="2">
        <v>85593288</v>
      </c>
      <c r="K5" s="9">
        <v>37.409999999999997</v>
      </c>
      <c r="L5" s="10">
        <v>62.59</v>
      </c>
      <c r="M5" s="2">
        <v>14874491</v>
      </c>
      <c r="N5" s="11">
        <v>164.1</v>
      </c>
      <c r="O5" s="2">
        <v>85.43</v>
      </c>
      <c r="P5" s="2">
        <v>1.37</v>
      </c>
      <c r="Q5" s="4">
        <v>2.68</v>
      </c>
      <c r="R5" s="2">
        <v>0.23599999999999999</v>
      </c>
      <c r="S5" s="2">
        <v>1.33</v>
      </c>
      <c r="T5" s="12" t="s">
        <v>137</v>
      </c>
    </row>
  </sheetData>
  <conditionalFormatting sqref="F2:F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{35E444D5-13E3-AA40-8D61-A0ADD739E0CE}</x14:id>
        </ext>
      </extLst>
    </cfRule>
  </conditionalFormatting>
  <conditionalFormatting sqref="I2:I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{70CF8C91-21F3-DF42-A404-34857D0DF008}</x14:id>
        </ext>
      </extLst>
    </cfRule>
  </conditionalFormatting>
  <conditionalFormatting sqref="K2:K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{FA69B30A-0ED4-3F41-B232-8E90F01BF072}</x14:id>
        </ext>
      </extLst>
    </cfRule>
  </conditionalFormatting>
  <conditionalFormatting sqref="L2:L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{066F9229-D17E-3D40-A180-838F6A637C65}</x14:id>
        </ext>
      </extLst>
    </cfRule>
  </conditionalFormatting>
  <conditionalFormatting sqref="M2:M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{91358FFB-B852-7748-87A3-2622FB9DA104}</x14:id>
        </ext>
      </extLst>
    </cfRule>
  </conditionalFormatting>
  <conditionalFormatting sqref="N2:N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{F1E14C75-1127-B44B-8EEE-24CC554B11B4}</x14:id>
        </ext>
      </extLst>
    </cfRule>
  </conditionalFormatting>
  <conditionalFormatting sqref="P2:P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{F811448F-62C2-6345-8BCB-11F0AD241633}</x14:id>
        </ext>
      </extLst>
    </cfRule>
  </conditionalFormatting>
  <conditionalFormatting sqref="O2:O5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E444D5-13E3-AA40-8D61-A0ADD739E0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E2:E5</xm:sqref>
        </x14:conditionalFormatting>
        <x14:conditionalFormatting xmlns:xm="http://schemas.microsoft.com/office/excel/2006/main">
          <x14:cfRule type="dataBar" id="{70CF8C91-21F3-DF42-A404-34857D0DF0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J2:J5</xm:sqref>
        </x14:conditionalFormatting>
        <x14:conditionalFormatting xmlns:xm="http://schemas.microsoft.com/office/excel/2006/main">
          <x14:cfRule type="dataBar" id="{FA69B30A-0ED4-3F41-B232-8E90F01BF0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K2:K5</xm:sqref>
        </x14:conditionalFormatting>
        <x14:conditionalFormatting xmlns:xm="http://schemas.microsoft.com/office/excel/2006/main">
          <x14:cfRule type="dataBar" id="{066F9229-D17E-3D40-A180-838F6A637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L2:L5</xm:sqref>
        </x14:conditionalFormatting>
        <x14:conditionalFormatting xmlns:xm="http://schemas.microsoft.com/office/excel/2006/main">
          <x14:cfRule type="dataBar" id="{91358FFB-B852-7748-87A3-2622FB9DA1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M2:M5</xm:sqref>
        </x14:conditionalFormatting>
        <x14:conditionalFormatting xmlns:xm="http://schemas.microsoft.com/office/excel/2006/main">
          <x14:cfRule type="dataBar" id="{F1E14C75-1127-B44B-8EEE-24CC554B11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N2:N5</xm:sqref>
        </x14:conditionalFormatting>
        <x14:conditionalFormatting xmlns:xm="http://schemas.microsoft.com/office/excel/2006/main">
          <x14:cfRule type="dataBar" id="{F811448F-62C2-6345-8BCB-11F0AD2416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S2:S5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C75D-5843-E04E-A406-D2C7067AE75B}">
  <sheetPr filterMode="1"/>
  <dimension ref="A1:Y26"/>
  <sheetViews>
    <sheetView tabSelected="1" topLeftCell="E1" workbookViewId="0">
      <selection activeCell="K18" sqref="K18"/>
    </sheetView>
  </sheetViews>
  <sheetFormatPr baseColWidth="10" defaultRowHeight="16" x14ac:dyDescent="0.2"/>
  <cols>
    <col min="1" max="1" width="11.5" bestFit="1" customWidth="1"/>
    <col min="2" max="2" width="45" hidden="1" customWidth="1"/>
    <col min="3" max="3" width="15.6640625" hidden="1" customWidth="1"/>
    <col min="4" max="4" width="5.33203125" hidden="1" customWidth="1"/>
    <col min="5" max="5" width="81.5" bestFit="1" customWidth="1"/>
    <col min="6" max="6" width="15.1640625" bestFit="1" customWidth="1"/>
    <col min="7" max="7" width="14.83203125" bestFit="1" customWidth="1"/>
    <col min="8" max="8" width="19.1640625" bestFit="1" customWidth="1"/>
    <col min="9" max="9" width="20.33203125" bestFit="1" customWidth="1"/>
    <col min="10" max="10" width="22.83203125" bestFit="1" customWidth="1"/>
    <col min="11" max="11" width="18.6640625" bestFit="1" customWidth="1"/>
    <col min="12" max="12" width="30.6640625" customWidth="1"/>
    <col min="13" max="13" width="22" bestFit="1" customWidth="1"/>
    <col min="14" max="14" width="23.1640625" bestFit="1" customWidth="1"/>
    <col min="15" max="15" width="23" bestFit="1" customWidth="1"/>
    <col min="16" max="16" width="28.5" bestFit="1" customWidth="1"/>
    <col min="17" max="17" width="23.6640625" bestFit="1" customWidth="1"/>
    <col min="18" max="18" width="29.83203125" bestFit="1" customWidth="1"/>
    <col min="19" max="19" width="18" bestFit="1" customWidth="1"/>
    <col min="20" max="20" width="29.1640625" customWidth="1"/>
    <col min="21" max="21" width="28.83203125" bestFit="1" customWidth="1"/>
    <col min="22" max="22" width="25.6640625" bestFit="1" customWidth="1"/>
    <col min="23" max="23" width="29" bestFit="1" customWidth="1"/>
    <col min="24" max="24" width="30.1640625" bestFit="1" customWidth="1"/>
    <col min="25" max="25" width="28" bestFit="1" customWidth="1"/>
  </cols>
  <sheetData>
    <row r="1" spans="1:25" x14ac:dyDescent="0.2">
      <c r="A1" t="s">
        <v>136</v>
      </c>
      <c r="B1" t="s">
        <v>135</v>
      </c>
      <c r="C1" t="s">
        <v>134</v>
      </c>
      <c r="D1" t="s">
        <v>133</v>
      </c>
      <c r="E1" t="s">
        <v>132</v>
      </c>
      <c r="F1" t="s">
        <v>131</v>
      </c>
      <c r="G1" t="s">
        <v>130</v>
      </c>
      <c r="H1" t="s">
        <v>129</v>
      </c>
      <c r="I1" t="s">
        <v>128</v>
      </c>
      <c r="J1" t="s">
        <v>127</v>
      </c>
      <c r="K1" t="s">
        <v>126</v>
      </c>
      <c r="L1" t="s">
        <v>125</v>
      </c>
      <c r="M1" t="s">
        <v>124</v>
      </c>
      <c r="N1" t="s">
        <v>123</v>
      </c>
      <c r="O1" t="s">
        <v>122</v>
      </c>
      <c r="P1" t="s">
        <v>121</v>
      </c>
      <c r="Q1" t="s">
        <v>120</v>
      </c>
      <c r="R1" t="s">
        <v>119</v>
      </c>
      <c r="S1" t="s">
        <v>118</v>
      </c>
      <c r="T1" t="s">
        <v>117</v>
      </c>
      <c r="U1" t="s">
        <v>116</v>
      </c>
      <c r="V1" t="s">
        <v>115</v>
      </c>
      <c r="W1" t="s">
        <v>114</v>
      </c>
      <c r="X1" t="s">
        <v>113</v>
      </c>
      <c r="Y1" t="s">
        <v>112</v>
      </c>
    </row>
    <row r="2" spans="1:25" hidden="1" x14ac:dyDescent="0.2">
      <c r="A2" t="s">
        <v>63</v>
      </c>
      <c r="B2" t="s">
        <v>62</v>
      </c>
      <c r="C2" t="s">
        <v>61</v>
      </c>
      <c r="D2" t="s">
        <v>60</v>
      </c>
      <c r="E2" t="s">
        <v>17</v>
      </c>
      <c r="F2">
        <v>171104</v>
      </c>
      <c r="G2">
        <v>1743</v>
      </c>
      <c r="H2">
        <v>1.02</v>
      </c>
      <c r="I2">
        <v>10.11</v>
      </c>
      <c r="J2">
        <v>17.39</v>
      </c>
      <c r="K2">
        <v>17.649999999999999</v>
      </c>
      <c r="L2">
        <v>48387666</v>
      </c>
      <c r="M2">
        <v>36083.300000000003</v>
      </c>
      <c r="N2">
        <v>470.4</v>
      </c>
      <c r="O2">
        <v>2323</v>
      </c>
      <c r="P2">
        <v>54.4</v>
      </c>
      <c r="Q2">
        <v>45.6</v>
      </c>
      <c r="R2">
        <v>11046544</v>
      </c>
      <c r="S2">
        <v>166.8</v>
      </c>
      <c r="T2">
        <v>84.88</v>
      </c>
      <c r="U2">
        <v>1.47</v>
      </c>
      <c r="V2">
        <v>3.28</v>
      </c>
      <c r="W2">
        <v>0.19900000000000001</v>
      </c>
      <c r="X2">
        <v>0.75700000000000001</v>
      </c>
      <c r="Y2">
        <v>1.49</v>
      </c>
    </row>
    <row r="3" spans="1:25" hidden="1" x14ac:dyDescent="0.2">
      <c r="A3" t="s">
        <v>71</v>
      </c>
      <c r="B3" t="s">
        <v>70</v>
      </c>
      <c r="C3" t="s">
        <v>69</v>
      </c>
      <c r="D3" t="s">
        <v>68</v>
      </c>
      <c r="E3" t="s">
        <v>17</v>
      </c>
      <c r="F3">
        <v>183386</v>
      </c>
      <c r="G3">
        <v>1676</v>
      </c>
      <c r="H3">
        <v>0.91</v>
      </c>
      <c r="I3">
        <v>10.67</v>
      </c>
      <c r="J3">
        <v>16.98</v>
      </c>
      <c r="K3">
        <v>16.63</v>
      </c>
      <c r="L3">
        <v>74107051</v>
      </c>
      <c r="M3">
        <v>55262.5</v>
      </c>
      <c r="N3">
        <v>548.4</v>
      </c>
      <c r="O3">
        <v>2628</v>
      </c>
      <c r="P3">
        <v>56.7</v>
      </c>
      <c r="Q3">
        <v>43.3</v>
      </c>
      <c r="R3">
        <v>12132785</v>
      </c>
      <c r="S3">
        <v>179.8</v>
      </c>
      <c r="T3">
        <v>84.98</v>
      </c>
      <c r="U3">
        <v>0.88</v>
      </c>
      <c r="V3">
        <v>3.33</v>
      </c>
      <c r="W3">
        <v>0.17</v>
      </c>
      <c r="X3">
        <v>0.65600000000000003</v>
      </c>
      <c r="Y3">
        <v>1.52</v>
      </c>
    </row>
    <row r="4" spans="1:25" hidden="1" x14ac:dyDescent="0.2">
      <c r="A4" t="s">
        <v>45</v>
      </c>
      <c r="B4" t="s">
        <v>44</v>
      </c>
      <c r="C4" t="s">
        <v>43</v>
      </c>
      <c r="D4" t="s">
        <v>42</v>
      </c>
      <c r="E4" t="s">
        <v>17</v>
      </c>
      <c r="F4">
        <v>134725</v>
      </c>
      <c r="G4">
        <v>1211</v>
      </c>
      <c r="H4">
        <v>0.9</v>
      </c>
      <c r="I4">
        <v>10.8</v>
      </c>
      <c r="J4">
        <v>17.760000000000002</v>
      </c>
      <c r="K4">
        <v>18.16</v>
      </c>
      <c r="L4">
        <v>32250281</v>
      </c>
      <c r="M4">
        <v>24049.4</v>
      </c>
      <c r="N4">
        <v>959.5</v>
      </c>
      <c r="O4">
        <v>3103</v>
      </c>
      <c r="P4">
        <v>57.55</v>
      </c>
      <c r="Q4">
        <v>42.45</v>
      </c>
      <c r="R4">
        <v>8258684</v>
      </c>
      <c r="S4">
        <v>168.6</v>
      </c>
      <c r="T4">
        <v>85.65</v>
      </c>
      <c r="U4">
        <v>1.17</v>
      </c>
      <c r="V4">
        <v>3.47</v>
      </c>
      <c r="W4">
        <v>0.17799999999999999</v>
      </c>
      <c r="X4">
        <v>0.59599999999999997</v>
      </c>
      <c r="Y4">
        <v>1.51</v>
      </c>
    </row>
    <row r="5" spans="1:25" hidden="1" x14ac:dyDescent="0.2">
      <c r="A5" t="s">
        <v>34</v>
      </c>
      <c r="B5" t="s">
        <v>33</v>
      </c>
      <c r="C5" t="s">
        <v>32</v>
      </c>
      <c r="D5" t="s">
        <v>31</v>
      </c>
      <c r="E5" t="s">
        <v>17</v>
      </c>
      <c r="F5">
        <v>132809</v>
      </c>
      <c r="G5">
        <v>1447</v>
      </c>
      <c r="H5">
        <v>1.0900000000000001</v>
      </c>
      <c r="I5">
        <v>10.96</v>
      </c>
      <c r="J5">
        <v>16.82</v>
      </c>
      <c r="K5">
        <v>20.45</v>
      </c>
      <c r="L5">
        <v>70832008</v>
      </c>
      <c r="M5">
        <v>52820.3</v>
      </c>
      <c r="N5">
        <v>514.5</v>
      </c>
      <c r="O5">
        <v>2565</v>
      </c>
      <c r="P5">
        <v>53.05</v>
      </c>
      <c r="Q5">
        <v>46.95</v>
      </c>
      <c r="R5">
        <v>9078985</v>
      </c>
      <c r="S5">
        <v>169.9</v>
      </c>
      <c r="T5">
        <v>85.7</v>
      </c>
      <c r="U5">
        <v>1.3</v>
      </c>
      <c r="V5">
        <v>3.03</v>
      </c>
      <c r="W5">
        <v>0.19400000000000001</v>
      </c>
      <c r="X5">
        <v>0.64400000000000002</v>
      </c>
      <c r="Y5">
        <v>1.5</v>
      </c>
    </row>
    <row r="6" spans="1:25" hidden="1" x14ac:dyDescent="0.2">
      <c r="A6" t="s">
        <v>57</v>
      </c>
      <c r="B6" t="s">
        <v>56</v>
      </c>
      <c r="C6" t="s">
        <v>55</v>
      </c>
      <c r="D6" t="s">
        <v>54</v>
      </c>
      <c r="E6" t="s">
        <v>17</v>
      </c>
      <c r="F6">
        <v>161967</v>
      </c>
      <c r="G6">
        <v>1777</v>
      </c>
      <c r="H6">
        <v>1.1000000000000001</v>
      </c>
      <c r="I6">
        <v>11.55</v>
      </c>
      <c r="J6">
        <v>18.43</v>
      </c>
      <c r="K6">
        <v>16.96</v>
      </c>
      <c r="L6">
        <v>46233019</v>
      </c>
      <c r="M6">
        <v>34502.199999999997</v>
      </c>
      <c r="N6">
        <v>280.10000000000002</v>
      </c>
      <c r="O6">
        <v>1385</v>
      </c>
      <c r="P6">
        <v>53.01</v>
      </c>
      <c r="Q6">
        <v>46.99</v>
      </c>
      <c r="R6">
        <v>10555299</v>
      </c>
      <c r="S6">
        <v>165.4</v>
      </c>
      <c r="T6">
        <v>83.85</v>
      </c>
      <c r="U6">
        <v>1.31</v>
      </c>
      <c r="V6">
        <v>2.85</v>
      </c>
      <c r="W6">
        <v>0.16700000000000001</v>
      </c>
      <c r="X6">
        <v>0.70099999999999996</v>
      </c>
      <c r="Y6">
        <v>1.45</v>
      </c>
    </row>
    <row r="7" spans="1:25" x14ac:dyDescent="0.2">
      <c r="A7" t="s">
        <v>100</v>
      </c>
      <c r="B7" t="s">
        <v>99</v>
      </c>
      <c r="C7" t="s">
        <v>98</v>
      </c>
      <c r="D7" t="s">
        <v>76</v>
      </c>
      <c r="E7" t="s">
        <v>72</v>
      </c>
      <c r="F7">
        <v>277433</v>
      </c>
      <c r="G7">
        <v>2760</v>
      </c>
      <c r="H7">
        <v>0.99</v>
      </c>
      <c r="I7">
        <v>11.99</v>
      </c>
      <c r="J7">
        <v>17.93</v>
      </c>
      <c r="K7">
        <v>18.45</v>
      </c>
      <c r="L7">
        <v>129069341</v>
      </c>
      <c r="M7">
        <v>96248.6</v>
      </c>
      <c r="N7">
        <v>441.6</v>
      </c>
      <c r="O7">
        <v>2887</v>
      </c>
      <c r="P7">
        <v>39.590000000000003</v>
      </c>
      <c r="Q7">
        <v>60.41</v>
      </c>
      <c r="R7">
        <v>26293897</v>
      </c>
      <c r="S7">
        <v>182.3</v>
      </c>
      <c r="T7">
        <v>86.06</v>
      </c>
      <c r="U7">
        <v>0.87</v>
      </c>
      <c r="V7">
        <v>3.05</v>
      </c>
      <c r="W7">
        <v>0.14599999999999999</v>
      </c>
      <c r="X7">
        <v>0.51100000000000001</v>
      </c>
      <c r="Y7">
        <v>1.28</v>
      </c>
    </row>
    <row r="8" spans="1:25" hidden="1" x14ac:dyDescent="0.2">
      <c r="A8" t="s">
        <v>53</v>
      </c>
      <c r="B8" t="s">
        <v>52</v>
      </c>
      <c r="C8" t="s">
        <v>51</v>
      </c>
      <c r="D8" t="s">
        <v>50</v>
      </c>
      <c r="E8" t="s">
        <v>17</v>
      </c>
      <c r="F8">
        <v>157059</v>
      </c>
      <c r="G8">
        <v>1747</v>
      </c>
      <c r="H8">
        <v>1.1100000000000001</v>
      </c>
      <c r="I8">
        <v>12.29</v>
      </c>
      <c r="J8">
        <v>17.55</v>
      </c>
      <c r="K8">
        <v>19.48</v>
      </c>
      <c r="L8">
        <v>91959127</v>
      </c>
      <c r="M8">
        <v>68575</v>
      </c>
      <c r="N8">
        <v>584.4</v>
      </c>
      <c r="O8">
        <v>2901</v>
      </c>
      <c r="P8">
        <v>66.47</v>
      </c>
      <c r="Q8">
        <v>33.53</v>
      </c>
      <c r="R8">
        <v>7880847</v>
      </c>
      <c r="S8">
        <v>179.2</v>
      </c>
      <c r="T8">
        <v>83.51</v>
      </c>
      <c r="U8">
        <v>0.95</v>
      </c>
      <c r="V8">
        <v>3.36</v>
      </c>
      <c r="W8">
        <v>0.20899999999999999</v>
      </c>
      <c r="X8">
        <v>0.59299999999999997</v>
      </c>
      <c r="Y8">
        <v>1.71</v>
      </c>
    </row>
    <row r="9" spans="1:25" hidden="1" x14ac:dyDescent="0.2">
      <c r="A9" t="s">
        <v>21</v>
      </c>
      <c r="B9" t="s">
        <v>20</v>
      </c>
      <c r="C9" t="s">
        <v>19</v>
      </c>
      <c r="D9" t="s">
        <v>18</v>
      </c>
      <c r="E9" t="s">
        <v>17</v>
      </c>
      <c r="F9">
        <v>95849</v>
      </c>
      <c r="G9">
        <v>1100</v>
      </c>
      <c r="H9">
        <v>1.1499999999999999</v>
      </c>
      <c r="I9">
        <v>12.32</v>
      </c>
      <c r="J9">
        <v>17.79</v>
      </c>
      <c r="K9">
        <v>20.02</v>
      </c>
      <c r="L9">
        <v>39052297</v>
      </c>
      <c r="M9">
        <v>29121.8</v>
      </c>
      <c r="N9">
        <v>403.4</v>
      </c>
      <c r="O9">
        <v>2480</v>
      </c>
      <c r="P9">
        <v>47.81</v>
      </c>
      <c r="Q9">
        <v>52.19</v>
      </c>
      <c r="R9">
        <v>7392883</v>
      </c>
      <c r="S9">
        <v>176.4</v>
      </c>
      <c r="T9">
        <v>83.78</v>
      </c>
      <c r="U9">
        <v>1.31</v>
      </c>
      <c r="V9">
        <v>2.98</v>
      </c>
      <c r="W9">
        <v>0.20200000000000001</v>
      </c>
      <c r="X9">
        <v>0.82599999999999996</v>
      </c>
      <c r="Y9">
        <v>1.6</v>
      </c>
    </row>
    <row r="10" spans="1:25" x14ac:dyDescent="0.2">
      <c r="A10" t="s">
        <v>79</v>
      </c>
      <c r="B10" t="s">
        <v>78</v>
      </c>
      <c r="C10" t="s">
        <v>77</v>
      </c>
      <c r="D10" t="s">
        <v>76</v>
      </c>
      <c r="E10" t="s">
        <v>72</v>
      </c>
      <c r="F10">
        <v>202702</v>
      </c>
      <c r="G10">
        <v>2144</v>
      </c>
      <c r="H10">
        <v>1.06</v>
      </c>
      <c r="I10">
        <v>12.55</v>
      </c>
      <c r="J10">
        <v>19.43</v>
      </c>
      <c r="K10">
        <v>20.18</v>
      </c>
      <c r="L10">
        <v>86485089</v>
      </c>
      <c r="M10">
        <v>65173.4</v>
      </c>
      <c r="N10">
        <v>453.1</v>
      </c>
      <c r="O10">
        <v>2803</v>
      </c>
      <c r="P10">
        <v>40.229999999999997</v>
      </c>
      <c r="Q10">
        <v>59.77</v>
      </c>
      <c r="R10">
        <v>19031374</v>
      </c>
      <c r="S10">
        <v>182.4</v>
      </c>
      <c r="T10">
        <v>86.12</v>
      </c>
      <c r="U10">
        <v>1.17</v>
      </c>
      <c r="V10">
        <v>2.82</v>
      </c>
      <c r="W10">
        <v>0.152</v>
      </c>
      <c r="X10">
        <v>0.52200000000000002</v>
      </c>
      <c r="Y10">
        <v>1.34</v>
      </c>
    </row>
    <row r="11" spans="1:25" x14ac:dyDescent="0.2">
      <c r="A11" t="s">
        <v>107</v>
      </c>
      <c r="B11" t="s">
        <v>106</v>
      </c>
      <c r="C11" t="s">
        <v>105</v>
      </c>
      <c r="D11" t="s">
        <v>104</v>
      </c>
      <c r="E11" t="s">
        <v>72</v>
      </c>
      <c r="F11">
        <v>329245</v>
      </c>
      <c r="G11">
        <v>3627</v>
      </c>
      <c r="H11">
        <v>1.1000000000000001</v>
      </c>
      <c r="I11">
        <v>13.34</v>
      </c>
      <c r="J11">
        <v>21.9</v>
      </c>
      <c r="K11">
        <v>17.05</v>
      </c>
      <c r="L11">
        <v>100642817</v>
      </c>
      <c r="M11">
        <v>75275.100000000006</v>
      </c>
      <c r="N11">
        <v>610.1</v>
      </c>
      <c r="O11">
        <v>4106</v>
      </c>
      <c r="P11">
        <v>70.09</v>
      </c>
      <c r="Q11">
        <v>29.91</v>
      </c>
      <c r="R11">
        <v>15292842</v>
      </c>
      <c r="S11">
        <v>179.8</v>
      </c>
      <c r="T11">
        <v>86.37</v>
      </c>
      <c r="U11">
        <v>1.43</v>
      </c>
      <c r="V11">
        <v>3.61</v>
      </c>
      <c r="W11">
        <v>0.19600000000000001</v>
      </c>
      <c r="X11">
        <v>0.67200000000000004</v>
      </c>
      <c r="Y11">
        <v>1.46</v>
      </c>
    </row>
    <row r="12" spans="1:25" hidden="1" x14ac:dyDescent="0.2">
      <c r="A12" t="s">
        <v>49</v>
      </c>
      <c r="B12" t="s">
        <v>48</v>
      </c>
      <c r="C12" t="s">
        <v>47</v>
      </c>
      <c r="D12" t="s">
        <v>46</v>
      </c>
      <c r="E12" t="s">
        <v>17</v>
      </c>
      <c r="F12">
        <v>138372</v>
      </c>
      <c r="G12">
        <v>2101</v>
      </c>
      <c r="H12">
        <v>1.52</v>
      </c>
      <c r="I12">
        <v>13.77</v>
      </c>
      <c r="J12">
        <v>19.329999999999998</v>
      </c>
      <c r="K12">
        <v>20.350000000000001</v>
      </c>
      <c r="L12">
        <v>40429531</v>
      </c>
      <c r="M12">
        <v>30171.3</v>
      </c>
      <c r="N12">
        <v>339.1</v>
      </c>
      <c r="O12">
        <v>2807</v>
      </c>
      <c r="P12">
        <v>44.21</v>
      </c>
      <c r="Q12">
        <v>55.79</v>
      </c>
      <c r="R12">
        <v>11172451</v>
      </c>
      <c r="S12">
        <v>172.6</v>
      </c>
      <c r="T12">
        <v>83.85</v>
      </c>
      <c r="U12">
        <v>1.21</v>
      </c>
      <c r="V12">
        <v>2.72</v>
      </c>
      <c r="W12">
        <v>0.221</v>
      </c>
      <c r="X12">
        <v>0.60799999999999998</v>
      </c>
      <c r="Y12">
        <v>2.2400000000000002</v>
      </c>
    </row>
    <row r="13" spans="1:25" x14ac:dyDescent="0.2">
      <c r="A13" t="s">
        <v>67</v>
      </c>
      <c r="B13" t="s">
        <v>66</v>
      </c>
      <c r="C13" t="s">
        <v>65</v>
      </c>
      <c r="D13" t="s">
        <v>64</v>
      </c>
      <c r="E13" t="s">
        <v>22</v>
      </c>
      <c r="F13">
        <v>177182</v>
      </c>
      <c r="G13">
        <v>2556</v>
      </c>
      <c r="H13">
        <v>1.44</v>
      </c>
      <c r="I13">
        <v>13.86</v>
      </c>
      <c r="J13">
        <v>19.489999999999998</v>
      </c>
      <c r="K13">
        <v>20.63</v>
      </c>
      <c r="L13">
        <v>63720916</v>
      </c>
      <c r="M13">
        <v>47552.9</v>
      </c>
      <c r="N13">
        <v>576.1</v>
      </c>
      <c r="O13">
        <v>2613</v>
      </c>
      <c r="P13">
        <v>35.69</v>
      </c>
      <c r="Q13">
        <v>64.31</v>
      </c>
      <c r="R13">
        <v>16182410</v>
      </c>
      <c r="S13">
        <v>165.6</v>
      </c>
      <c r="T13">
        <v>85.76</v>
      </c>
      <c r="U13">
        <v>1.41</v>
      </c>
      <c r="V13">
        <v>2.86</v>
      </c>
      <c r="W13">
        <v>0.23200000000000001</v>
      </c>
      <c r="X13">
        <v>0.57899999999999996</v>
      </c>
      <c r="Y13">
        <v>1.77</v>
      </c>
    </row>
    <row r="14" spans="1:25" x14ac:dyDescent="0.2">
      <c r="A14" t="s">
        <v>26</v>
      </c>
      <c r="B14" t="s">
        <v>25</v>
      </c>
      <c r="C14" t="s">
        <v>24</v>
      </c>
      <c r="D14" t="s">
        <v>23</v>
      </c>
      <c r="E14" t="s">
        <v>22</v>
      </c>
      <c r="F14">
        <v>120321</v>
      </c>
      <c r="G14">
        <v>2361</v>
      </c>
      <c r="H14">
        <v>1.96</v>
      </c>
      <c r="I14">
        <v>14.15</v>
      </c>
      <c r="J14">
        <v>19.04</v>
      </c>
      <c r="K14">
        <v>15.96</v>
      </c>
      <c r="L14">
        <v>44030123</v>
      </c>
      <c r="M14">
        <v>33006.1</v>
      </c>
      <c r="N14">
        <v>452</v>
      </c>
      <c r="O14">
        <v>1512</v>
      </c>
      <c r="P14">
        <v>39.68</v>
      </c>
      <c r="Q14">
        <v>60.32</v>
      </c>
      <c r="R14">
        <v>10617149</v>
      </c>
      <c r="S14">
        <v>173.1</v>
      </c>
      <c r="T14">
        <v>84.51</v>
      </c>
      <c r="U14">
        <v>1.23</v>
      </c>
      <c r="V14">
        <v>3.36</v>
      </c>
      <c r="W14">
        <v>0.188</v>
      </c>
      <c r="X14">
        <v>0.54200000000000004</v>
      </c>
      <c r="Y14">
        <v>1.49</v>
      </c>
    </row>
    <row r="15" spans="1:25" x14ac:dyDescent="0.2">
      <c r="A15" t="s">
        <v>41</v>
      </c>
      <c r="B15" t="s">
        <v>40</v>
      </c>
      <c r="C15" t="s">
        <v>39</v>
      </c>
      <c r="D15" t="s">
        <v>38</v>
      </c>
      <c r="E15" t="s">
        <v>37</v>
      </c>
      <c r="F15">
        <v>133151</v>
      </c>
      <c r="G15">
        <v>1891</v>
      </c>
      <c r="H15">
        <v>1.42</v>
      </c>
      <c r="I15">
        <v>14.25</v>
      </c>
      <c r="J15">
        <v>19.46</v>
      </c>
      <c r="K15">
        <v>26.7</v>
      </c>
      <c r="L15">
        <v>116009987</v>
      </c>
      <c r="M15">
        <v>86510.1</v>
      </c>
      <c r="N15">
        <v>633.6</v>
      </c>
      <c r="O15">
        <v>3222</v>
      </c>
      <c r="P15">
        <v>34.24</v>
      </c>
      <c r="Q15">
        <v>65.760000000000005</v>
      </c>
      <c r="R15">
        <v>12530901</v>
      </c>
      <c r="S15">
        <v>167.5</v>
      </c>
      <c r="T15">
        <v>85.44</v>
      </c>
      <c r="U15">
        <v>1.32</v>
      </c>
      <c r="V15">
        <v>2.78</v>
      </c>
      <c r="W15">
        <v>0.16700000000000001</v>
      </c>
      <c r="X15">
        <v>0.54200000000000004</v>
      </c>
      <c r="Y15">
        <v>1.32</v>
      </c>
    </row>
    <row r="16" spans="1:25" x14ac:dyDescent="0.2">
      <c r="A16" t="s">
        <v>36</v>
      </c>
      <c r="B16" t="s">
        <v>35</v>
      </c>
      <c r="C16" t="s">
        <v>19</v>
      </c>
      <c r="D16" t="s">
        <v>18</v>
      </c>
      <c r="E16" t="s">
        <v>22</v>
      </c>
      <c r="F16">
        <v>132994</v>
      </c>
      <c r="G16">
        <v>2703</v>
      </c>
      <c r="H16">
        <v>2.0299999999999998</v>
      </c>
      <c r="I16">
        <v>14.5</v>
      </c>
      <c r="J16">
        <v>18.88</v>
      </c>
      <c r="K16">
        <v>19.95</v>
      </c>
      <c r="L16">
        <v>37658590</v>
      </c>
      <c r="M16">
        <v>28103.4</v>
      </c>
      <c r="N16">
        <v>641.70000000000005</v>
      </c>
      <c r="O16">
        <v>3223</v>
      </c>
      <c r="P16">
        <v>48.76</v>
      </c>
      <c r="Q16">
        <v>51.24</v>
      </c>
      <c r="R16">
        <v>8521455</v>
      </c>
      <c r="S16">
        <v>153.30000000000001</v>
      </c>
      <c r="T16">
        <v>81.569999999999993</v>
      </c>
      <c r="U16">
        <v>1.4</v>
      </c>
      <c r="V16">
        <v>2.59</v>
      </c>
      <c r="W16">
        <v>0.3</v>
      </c>
      <c r="X16">
        <v>0.72</v>
      </c>
      <c r="Y16">
        <v>2.38</v>
      </c>
    </row>
    <row r="17" spans="1:25" x14ac:dyDescent="0.2">
      <c r="A17" t="s">
        <v>97</v>
      </c>
      <c r="B17" t="s">
        <v>96</v>
      </c>
      <c r="C17" t="s">
        <v>95</v>
      </c>
      <c r="D17" t="s">
        <v>94</v>
      </c>
      <c r="E17" t="s">
        <v>72</v>
      </c>
      <c r="F17">
        <v>233356</v>
      </c>
      <c r="G17">
        <v>2683</v>
      </c>
      <c r="H17">
        <v>1.1499999999999999</v>
      </c>
      <c r="I17">
        <v>14.74</v>
      </c>
      <c r="J17">
        <v>21.3</v>
      </c>
      <c r="K17">
        <v>19.12</v>
      </c>
      <c r="L17">
        <v>77299622</v>
      </c>
      <c r="M17">
        <v>57643.3</v>
      </c>
      <c r="N17">
        <v>1227.2</v>
      </c>
      <c r="O17">
        <v>4405</v>
      </c>
      <c r="P17">
        <v>66.349999999999994</v>
      </c>
      <c r="Q17">
        <v>33.65</v>
      </c>
      <c r="R17">
        <v>11856279</v>
      </c>
      <c r="S17">
        <v>177.3</v>
      </c>
      <c r="T17">
        <v>85.16</v>
      </c>
      <c r="U17">
        <v>1.04</v>
      </c>
      <c r="V17">
        <v>3.14</v>
      </c>
      <c r="W17">
        <v>0.254</v>
      </c>
      <c r="X17">
        <v>0.70499999999999996</v>
      </c>
      <c r="Y17">
        <v>1.62</v>
      </c>
    </row>
    <row r="18" spans="1:25" x14ac:dyDescent="0.2">
      <c r="A18" t="s">
        <v>30</v>
      </c>
      <c r="B18" t="s">
        <v>29</v>
      </c>
      <c r="C18" t="s">
        <v>28</v>
      </c>
      <c r="D18" t="s">
        <v>27</v>
      </c>
      <c r="E18" t="s">
        <v>22</v>
      </c>
      <c r="F18">
        <v>126684</v>
      </c>
      <c r="G18">
        <v>1848</v>
      </c>
      <c r="H18">
        <v>1.46</v>
      </c>
      <c r="I18">
        <v>15.25</v>
      </c>
      <c r="J18">
        <v>18.760000000000002</v>
      </c>
      <c r="K18">
        <v>16.23</v>
      </c>
      <c r="L18">
        <v>37186991</v>
      </c>
      <c r="M18">
        <v>27730.799999999999</v>
      </c>
      <c r="N18">
        <v>401.8</v>
      </c>
      <c r="O18">
        <v>2008</v>
      </c>
      <c r="P18">
        <v>40.19</v>
      </c>
      <c r="Q18">
        <v>59.81</v>
      </c>
      <c r="R18">
        <v>9597832</v>
      </c>
      <c r="S18">
        <v>156.5</v>
      </c>
      <c r="T18">
        <v>80.94</v>
      </c>
      <c r="U18">
        <v>1.19</v>
      </c>
      <c r="V18">
        <v>3.37</v>
      </c>
      <c r="W18">
        <v>0.20399999999999999</v>
      </c>
      <c r="X18">
        <v>0.60499999999999998</v>
      </c>
      <c r="Y18">
        <v>1.59</v>
      </c>
    </row>
    <row r="19" spans="1:25" x14ac:dyDescent="0.2">
      <c r="A19" t="s">
        <v>59</v>
      </c>
      <c r="B19" t="s">
        <v>58</v>
      </c>
      <c r="C19" t="s">
        <v>39</v>
      </c>
      <c r="D19" t="s">
        <v>38</v>
      </c>
      <c r="E19" t="s">
        <v>37</v>
      </c>
      <c r="F19">
        <v>164909</v>
      </c>
      <c r="G19">
        <v>4056</v>
      </c>
      <c r="H19">
        <v>2.46</v>
      </c>
      <c r="I19">
        <v>15.65</v>
      </c>
      <c r="J19">
        <v>20.14</v>
      </c>
      <c r="K19">
        <v>24.03</v>
      </c>
      <c r="L19">
        <v>53034753</v>
      </c>
      <c r="M19">
        <v>39607.699999999997</v>
      </c>
      <c r="N19">
        <v>662.4</v>
      </c>
      <c r="O19">
        <v>3764</v>
      </c>
      <c r="P19">
        <v>44.41</v>
      </c>
      <c r="Q19">
        <v>55.59</v>
      </c>
      <c r="R19">
        <v>11975988</v>
      </c>
      <c r="S19">
        <v>154.19999999999999</v>
      </c>
      <c r="T19">
        <v>84.72</v>
      </c>
      <c r="U19">
        <v>1.54</v>
      </c>
      <c r="V19">
        <v>2.7</v>
      </c>
      <c r="W19">
        <v>0.378</v>
      </c>
      <c r="X19">
        <v>0.81100000000000005</v>
      </c>
      <c r="Y19">
        <v>1.41</v>
      </c>
    </row>
    <row r="20" spans="1:25" x14ac:dyDescent="0.2">
      <c r="A20" t="s">
        <v>86</v>
      </c>
      <c r="B20" t="s">
        <v>85</v>
      </c>
      <c r="C20" t="s">
        <v>84</v>
      </c>
      <c r="D20" t="s">
        <v>27</v>
      </c>
      <c r="E20" t="s">
        <v>22</v>
      </c>
      <c r="F20">
        <v>209172</v>
      </c>
      <c r="G20">
        <v>2920</v>
      </c>
      <c r="H20">
        <v>1.4</v>
      </c>
      <c r="I20">
        <v>15.72</v>
      </c>
      <c r="J20">
        <v>22.12</v>
      </c>
      <c r="K20">
        <v>19.63</v>
      </c>
      <c r="L20">
        <v>66010894</v>
      </c>
      <c r="M20">
        <v>49225.1</v>
      </c>
      <c r="N20">
        <v>388.4</v>
      </c>
      <c r="O20">
        <v>2654</v>
      </c>
      <c r="P20">
        <v>50.23</v>
      </c>
      <c r="Q20">
        <v>49.77</v>
      </c>
      <c r="R20">
        <v>14547366</v>
      </c>
      <c r="S20">
        <v>165.9</v>
      </c>
      <c r="T20">
        <v>84.23</v>
      </c>
      <c r="U20">
        <v>1.3</v>
      </c>
      <c r="V20">
        <v>3.43</v>
      </c>
      <c r="W20">
        <v>0.16600000000000001</v>
      </c>
      <c r="X20">
        <v>0.56000000000000005</v>
      </c>
      <c r="Y20">
        <v>1.38</v>
      </c>
    </row>
    <row r="21" spans="1:25" x14ac:dyDescent="0.2">
      <c r="A21" t="s">
        <v>75</v>
      </c>
      <c r="B21" t="s">
        <v>74</v>
      </c>
      <c r="C21" t="s">
        <v>73</v>
      </c>
      <c r="D21" t="s">
        <v>23</v>
      </c>
      <c r="E21" t="s">
        <v>72</v>
      </c>
      <c r="F21">
        <v>184346</v>
      </c>
      <c r="G21">
        <v>3118</v>
      </c>
      <c r="H21">
        <v>1.69</v>
      </c>
      <c r="I21">
        <v>16.170000000000002</v>
      </c>
      <c r="J21">
        <v>20.96</v>
      </c>
      <c r="K21">
        <v>19.18</v>
      </c>
      <c r="L21">
        <v>100027448</v>
      </c>
      <c r="M21">
        <v>74814.8</v>
      </c>
      <c r="N21">
        <v>1012</v>
      </c>
      <c r="O21">
        <v>3974</v>
      </c>
      <c r="P21">
        <v>55.44</v>
      </c>
      <c r="Q21">
        <v>44.56</v>
      </c>
      <c r="R21">
        <v>13092334</v>
      </c>
      <c r="S21">
        <v>185.5</v>
      </c>
      <c r="T21">
        <v>85.92</v>
      </c>
      <c r="U21">
        <v>1.07</v>
      </c>
      <c r="V21">
        <v>3.33</v>
      </c>
      <c r="W21">
        <v>0.185</v>
      </c>
      <c r="X21">
        <v>0.67</v>
      </c>
      <c r="Y21">
        <v>1.37</v>
      </c>
    </row>
    <row r="22" spans="1:25" x14ac:dyDescent="0.2">
      <c r="A22" t="s">
        <v>111</v>
      </c>
      <c r="B22" t="s">
        <v>110</v>
      </c>
      <c r="C22" t="s">
        <v>109</v>
      </c>
      <c r="D22" t="s">
        <v>108</v>
      </c>
      <c r="E22" t="s">
        <v>72</v>
      </c>
      <c r="F22">
        <v>360571</v>
      </c>
      <c r="G22">
        <v>5295</v>
      </c>
      <c r="H22">
        <v>1.47</v>
      </c>
      <c r="I22">
        <v>16.36</v>
      </c>
      <c r="J22">
        <v>22.59</v>
      </c>
      <c r="K22">
        <v>21.97</v>
      </c>
      <c r="L22">
        <v>63598273</v>
      </c>
      <c r="M22">
        <v>47426</v>
      </c>
      <c r="N22">
        <v>239.6</v>
      </c>
      <c r="O22">
        <v>2441</v>
      </c>
      <c r="P22">
        <v>60</v>
      </c>
      <c r="Q22">
        <v>40</v>
      </c>
      <c r="R22">
        <v>20549778</v>
      </c>
      <c r="S22">
        <v>168</v>
      </c>
      <c r="T22">
        <v>84.81</v>
      </c>
      <c r="U22">
        <v>1.29</v>
      </c>
      <c r="V22">
        <v>2.84</v>
      </c>
      <c r="W22">
        <v>0.43</v>
      </c>
      <c r="X22">
        <v>0.83299999999999996</v>
      </c>
      <c r="Y22">
        <v>2.83</v>
      </c>
    </row>
    <row r="23" spans="1:25" x14ac:dyDescent="0.2">
      <c r="A23" t="s">
        <v>93</v>
      </c>
      <c r="B23" t="s">
        <v>92</v>
      </c>
      <c r="C23" t="s">
        <v>91</v>
      </c>
      <c r="D23" t="s">
        <v>90</v>
      </c>
      <c r="E23" t="s">
        <v>22</v>
      </c>
      <c r="F23">
        <v>227198</v>
      </c>
      <c r="G23">
        <v>3104</v>
      </c>
      <c r="H23">
        <v>1.37</v>
      </c>
      <c r="I23">
        <v>16.41</v>
      </c>
      <c r="J23">
        <v>24.46</v>
      </c>
      <c r="K23">
        <v>19.2</v>
      </c>
      <c r="L23">
        <v>28174107</v>
      </c>
      <c r="M23">
        <v>21009.8</v>
      </c>
      <c r="N23">
        <v>493.3</v>
      </c>
      <c r="O23">
        <v>2101</v>
      </c>
      <c r="P23">
        <v>76.040000000000006</v>
      </c>
      <c r="Q23">
        <v>23.96</v>
      </c>
      <c r="R23">
        <v>7702708</v>
      </c>
      <c r="S23">
        <v>169.5</v>
      </c>
      <c r="T23">
        <v>83.48</v>
      </c>
      <c r="U23">
        <v>1.19</v>
      </c>
      <c r="V23">
        <v>3.14</v>
      </c>
      <c r="W23">
        <v>0.33900000000000002</v>
      </c>
      <c r="X23">
        <v>0.60299999999999998</v>
      </c>
      <c r="Y23">
        <v>2.29</v>
      </c>
    </row>
    <row r="24" spans="1:25" x14ac:dyDescent="0.2">
      <c r="A24" t="s">
        <v>83</v>
      </c>
      <c r="B24" t="s">
        <v>82</v>
      </c>
      <c r="C24" t="s">
        <v>81</v>
      </c>
      <c r="D24" t="s">
        <v>80</v>
      </c>
      <c r="E24" t="s">
        <v>37</v>
      </c>
      <c r="F24">
        <v>206024</v>
      </c>
      <c r="G24">
        <v>4626</v>
      </c>
      <c r="H24">
        <v>2.25</v>
      </c>
      <c r="I24">
        <v>18.32</v>
      </c>
      <c r="J24">
        <v>24.65</v>
      </c>
      <c r="K24">
        <v>24.67</v>
      </c>
      <c r="L24">
        <v>87735124</v>
      </c>
      <c r="M24">
        <v>65474</v>
      </c>
      <c r="N24">
        <v>584.1</v>
      </c>
      <c r="O24">
        <v>4020</v>
      </c>
      <c r="P24">
        <v>33.58</v>
      </c>
      <c r="Q24">
        <v>66.42</v>
      </c>
      <c r="R24">
        <v>20116584</v>
      </c>
      <c r="S24">
        <v>170.7</v>
      </c>
      <c r="T24">
        <v>86.12</v>
      </c>
      <c r="U24">
        <v>1.24</v>
      </c>
      <c r="V24">
        <v>2.5499999999999998</v>
      </c>
      <c r="W24">
        <v>0.16300000000000001</v>
      </c>
      <c r="X24">
        <v>0.64800000000000002</v>
      </c>
      <c r="Y24">
        <v>1.27</v>
      </c>
    </row>
    <row r="25" spans="1:25" x14ac:dyDescent="0.2">
      <c r="A25" t="s">
        <v>89</v>
      </c>
      <c r="B25" t="s">
        <v>88</v>
      </c>
      <c r="C25" t="s">
        <v>87</v>
      </c>
      <c r="D25" t="s">
        <v>23</v>
      </c>
      <c r="E25" t="s">
        <v>72</v>
      </c>
      <c r="F25">
        <v>217894</v>
      </c>
      <c r="G25">
        <v>3450</v>
      </c>
      <c r="H25">
        <v>1.58</v>
      </c>
      <c r="I25">
        <v>19.62</v>
      </c>
      <c r="J25">
        <v>26.51</v>
      </c>
      <c r="K25">
        <v>21.05</v>
      </c>
      <c r="L25">
        <v>87974423</v>
      </c>
      <c r="M25">
        <v>65603.600000000006</v>
      </c>
      <c r="N25">
        <v>336.4</v>
      </c>
      <c r="O25">
        <v>2187</v>
      </c>
      <c r="P25">
        <v>50.73</v>
      </c>
      <c r="Q25">
        <v>49.27</v>
      </c>
      <c r="R25">
        <v>16164435</v>
      </c>
      <c r="S25">
        <v>176</v>
      </c>
      <c r="T25">
        <v>85.55</v>
      </c>
      <c r="U25">
        <v>1.1000000000000001</v>
      </c>
      <c r="V25">
        <v>3.05</v>
      </c>
      <c r="W25">
        <v>0.14799999999999999</v>
      </c>
      <c r="X25">
        <v>0.624</v>
      </c>
      <c r="Y25">
        <v>1.39</v>
      </c>
    </row>
    <row r="26" spans="1:25" x14ac:dyDescent="0.2">
      <c r="A26" t="s">
        <v>103</v>
      </c>
      <c r="B26" t="s">
        <v>102</v>
      </c>
      <c r="C26" t="s">
        <v>101</v>
      </c>
      <c r="D26" t="s">
        <v>27</v>
      </c>
      <c r="E26" t="s">
        <v>72</v>
      </c>
      <c r="F26">
        <v>325555</v>
      </c>
      <c r="G26">
        <v>6515</v>
      </c>
      <c r="H26">
        <v>2</v>
      </c>
      <c r="I26">
        <v>19.850000000000001</v>
      </c>
      <c r="J26">
        <v>28.07</v>
      </c>
      <c r="K26">
        <v>18.579999999999998</v>
      </c>
      <c r="L26">
        <v>90478800</v>
      </c>
      <c r="M26">
        <v>67471.100000000006</v>
      </c>
      <c r="N26">
        <v>255.4</v>
      </c>
      <c r="O26">
        <v>1482</v>
      </c>
      <c r="P26">
        <v>66.319999999999993</v>
      </c>
      <c r="Q26">
        <v>33.68</v>
      </c>
      <c r="R26">
        <v>15995278</v>
      </c>
      <c r="S26">
        <v>171.1</v>
      </c>
      <c r="T26">
        <v>85.26</v>
      </c>
      <c r="U26">
        <v>1.1399999999999999</v>
      </c>
      <c r="V26">
        <v>2.93</v>
      </c>
      <c r="W26">
        <v>0.16500000000000001</v>
      </c>
      <c r="X26">
        <v>0.54700000000000004</v>
      </c>
      <c r="Y26">
        <v>1.47</v>
      </c>
    </row>
  </sheetData>
  <autoFilter ref="A1:Y26" xr:uid="{4888C75D-5843-E04E-A406-D2C7067AE75B}">
    <filterColumn colId="4">
      <filters>
        <filter val="Congested Coastal Airport (Restricted airspace, smaller regional planes, and chronic flight delays)"/>
        <filter val="High Local Demand Airport (Most passengers start locally and pass through TSA security)"/>
        <filter val="Mega Connecting Hub (Very high passenger volumes with heavy connecting flight transfers)"/>
      </filters>
    </filterColumn>
    <sortState xmlns:xlrd2="http://schemas.microsoft.com/office/spreadsheetml/2017/richdata2" ref="A2:Y26">
      <sortCondition ref="I1:I26"/>
    </sortState>
  </autoFilter>
  <conditionalFormatting sqref="F2:F2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{4C74550F-71B3-E84D-AAF0-28659EBFE436}</x14:id>
        </ext>
      </extLst>
    </cfRule>
  </conditionalFormatting>
  <conditionalFormatting sqref="G2:G2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2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2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2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2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2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{E46204DF-386C-2F4F-8AE2-21A2603D432F}</x14:id>
        </ext>
      </extLst>
    </cfRule>
  </conditionalFormatting>
  <conditionalFormatting sqref="M2:M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{7561E574-D311-E74B-BC80-41709487D855}</x14:id>
        </ext>
      </extLst>
    </cfRule>
  </conditionalFormatting>
  <conditionalFormatting sqref="N2:N2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{5B2FDA45-32D7-5B44-AB11-9B6DC644DF67}</x14:id>
        </ext>
      </extLst>
    </cfRule>
  </conditionalFormatting>
  <conditionalFormatting sqref="O2:O2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{99A3D4A3-2687-E14C-B959-E1E9C019720E}</x14:id>
        </ext>
      </extLst>
    </cfRule>
  </conditionalFormatting>
  <conditionalFormatting sqref="P2:P2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{5A403C18-D4C7-AD45-B4FC-1D34EF93C2A9}</x14:id>
        </ext>
      </extLst>
    </cfRule>
  </conditionalFormatting>
  <conditionalFormatting sqref="Q2:Q2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{379325C0-C3A6-3E41-9941-CD4FF325731E}</x14:id>
        </ext>
      </extLst>
    </cfRule>
  </conditionalFormatting>
  <conditionalFormatting sqref="R2:R2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{3BD4773B-FF36-8A4A-93AD-98BB39CAEF7E}</x14:id>
        </ext>
      </extLst>
    </cfRule>
  </conditionalFormatting>
  <conditionalFormatting sqref="U2:U2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:V2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:W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:Y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{BB7A7445-AB31-1941-93E9-AD83B34D9599}</x14:id>
        </ext>
      </extLst>
    </cfRule>
  </conditionalFormatting>
  <conditionalFormatting sqref="T2:T2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74550F-71B3-E84D-AAF0-28659EBFE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F2:F26</xm:sqref>
        </x14:conditionalFormatting>
        <x14:conditionalFormatting xmlns:xm="http://schemas.microsoft.com/office/excel/2006/main">
          <x14:cfRule type="dataBar" id="{E46204DF-386C-2F4F-8AE2-21A2603D43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L2:L26</xm:sqref>
        </x14:conditionalFormatting>
        <x14:conditionalFormatting xmlns:xm="http://schemas.microsoft.com/office/excel/2006/main">
          <x14:cfRule type="dataBar" id="{7561E574-D311-E74B-BC80-41709487D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M2:M26</xm:sqref>
        </x14:conditionalFormatting>
        <x14:conditionalFormatting xmlns:xm="http://schemas.microsoft.com/office/excel/2006/main">
          <x14:cfRule type="dataBar" id="{5B2FDA45-32D7-5B44-AB11-9B6DC644DF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N2:N26</xm:sqref>
        </x14:conditionalFormatting>
        <x14:conditionalFormatting xmlns:xm="http://schemas.microsoft.com/office/excel/2006/main">
          <x14:cfRule type="dataBar" id="{99A3D4A3-2687-E14C-B959-E1E9C0197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O2:O26</xm:sqref>
        </x14:conditionalFormatting>
        <x14:conditionalFormatting xmlns:xm="http://schemas.microsoft.com/office/excel/2006/main">
          <x14:cfRule type="dataBar" id="{5A403C18-D4C7-AD45-B4FC-1D34EF93C2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P2:P26</xm:sqref>
        </x14:conditionalFormatting>
        <x14:conditionalFormatting xmlns:xm="http://schemas.microsoft.com/office/excel/2006/main">
          <x14:cfRule type="dataBar" id="{379325C0-C3A6-3E41-9941-CD4FF32573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Q2:Q26</xm:sqref>
        </x14:conditionalFormatting>
        <x14:conditionalFormatting xmlns:xm="http://schemas.microsoft.com/office/excel/2006/main">
          <x14:cfRule type="dataBar" id="{3BD4773B-FF36-8A4A-93AD-98BB39CAEF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R2:R26</xm:sqref>
        </x14:conditionalFormatting>
        <x14:conditionalFormatting xmlns:xm="http://schemas.microsoft.com/office/excel/2006/main">
          <x14:cfRule type="dataBar" id="{BB7A7445-AB31-1941-93E9-AD83B34D9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Y2:Y26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Archetype Summary</vt:lpstr>
      <vt:lpstr>Airport Archetype Metrics</vt:lpstr>
      <vt:lpstr>Detailed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Gleich, Leila</dc:creator>
  <cp:lastModifiedBy>Gleich, Leila</cp:lastModifiedBy>
  <dcterms:created xsi:type="dcterms:W3CDTF">2026-09-24T17:26:48Z</dcterms:created>
  <dcterms:modified xsi:type="dcterms:W3CDTF">2026-09-24T18:14:46Z</dcterms:modified>
</cp:coreProperties>
</file>